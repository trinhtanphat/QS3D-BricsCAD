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b62488361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OI_LUONG" sheetId="1" r:id="R8695abeb51ee4582"/>
    <x:sheet xmlns:r="http://schemas.openxmlformats.org/officeDocument/2006/relationships" name="TONG_HOP" sheetId="2" r:id="R8ac2fb73c0ef4fdc"/>
    <x:sheet xmlns:r="http://schemas.openxmlformats.org/officeDocument/2006/relationships" name="HUONG_DAN" sheetId="3" r:id="R462535d292d7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0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double">
        <x:color rgb="FF17365D"/>
      </x:bottom>
    </x:border>
    <x:border>
      <x:left style="thin">
        <x:color rgb="FFBF9000"/>
      </x:left>
      <x:top style="thin">
        <x:color rgb="FFBF9000"/>
      </x:top>
    </x:border>
    <x:border>
      <x:top style="thin">
        <x:color rgb="FFBF9000"/>
      </x:top>
    </x:border>
    <x:border>
      <x:right style="thin">
        <x:color rgb="FFBF9000"/>
      </x:right>
      <x:top style="thin">
        <x:color rgb="FFBF9000"/>
      </x:top>
    </x:border>
    <x:border>
      <x:left style="thin">
        <x:color rgb="FFBF9000"/>
      </x:left>
      <x:bottom style="thin">
        <x:color rgb="FFBF9000"/>
      </x:bottom>
    </x:border>
    <x:border>
      <x:bottom style="thin">
        <x:color rgb="FFBF9000"/>
      </x:bottom>
    </x:border>
    <x:border>
      <x:right style="thin">
        <x:color rgb="FFBF9000"/>
      </x:right>
      <x:bottom style="thin">
        <x:color rgb="FFBF9000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3" xfId="0" applyNumberFormat="1" applyFont="1" applyFill="1" applyBorder="1"/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200" fontId="3" fillId="4" borderId="11" xfId="0" applyNumberFormat="1" applyFont="1" applyFill="1" applyBorder="1"/>
    <x:xf numFmtId="201" fontId="3" fillId="4" borderId="1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horizontal="center"/>
    </x:xf>
    <x:xf numFmtId="0" fontId="1" fillId="3" borderId="6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/>
    </x:xf>
    <x:xf numFmtId="0" fontId="3" fillId="5" borderId="10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996bfc0524330" /><Relationship Type="http://schemas.openxmlformats.org/officeDocument/2006/relationships/theme" Target="/xl/theme/theme1.xml" Id="Rcad36ba6fcf34fa5" /><Relationship Type="http://schemas.openxmlformats.org/officeDocument/2006/relationships/sharedStrings" Target="/xl/sharedStrings.xml" Id="Rd8c7fbd3de6b4d76" /><Relationship Type="http://schemas.openxmlformats.org/officeDocument/2006/relationships/worksheet" Target="/xl/worksheets/sheet1.xml" Id="R8695abeb51ee4582" /><Relationship Type="http://schemas.openxmlformats.org/officeDocument/2006/relationships/worksheet" Target="/xl/worksheets/sheet2.xml" Id="R8ac2fb73c0ef4fdc" /><Relationship Type="http://schemas.openxmlformats.org/officeDocument/2006/relationships/worksheet" Target="/xl/worksheets/sheet3.xml" Id="R462535d292d7454f" /></Relationships>
</file>

<file path=xl/tables/table1.xml><?xml version="1.0" encoding="utf-8"?>
<x:table xmlns:x="http://schemas.openxmlformats.org/spreadsheetml/2006/main" id="1" name="QuantityDetail" displayName="QuantityDetail" ref="A1:S11" headerRowCount="1" totalsRowCount="0" totalsRowShown="0">
  <x:tableColumns count="19">
    <x:tableColumn id="1" name="Tầng"/>
    <x:tableColumn id="2" name="Loại"/>
    <x:tableColumn id="3" name="Tên cấu kiện"/>
    <x:tableColumn id="4" name="SL"/>
    <x:tableColumn id="5" name="BT gộp (m³)"/>
    <x:tableColumn id="6" name="Trừ giao (m³)"/>
    <x:tableColumn id="7" name="BT còn (m³)"/>
    <x:tableColumn id="8" name="Cốp pha (m²)"/>
    <x:tableColumn id="9" name="Dài (m)"/>
    <x:tableColumn id="10" name="Chu vi ngoài (m)"/>
    <x:tableColumn id="11" name="Chu vi trong (m)"/>
    <x:tableColumn id="12" name="DT cửa (m²)"/>
    <x:tableColumn id="13" name="Thành bên (m²)"/>
    <x:tableColumn id="14" name="DT đáy (m²)"/>
    <x:tableColumn id="15" name="DT đỉnh (m²)"/>
    <x:tableColumn id="16" name="DT khác (m²)"/>
    <x:tableColumn id="17" name="QS3D Element ID"/>
    <x:tableColumn id="18" name="CAD Handle (hex)"/>
    <x:tableColumn id="19" name="QS3D Drawing Fingerpr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1aafaaaa7a42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7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5" hidden="0" customWidth="1"/>
    <x:col min="18" max="18" width="18" hidden="0" customWidth="1"/>
    <x:col min="19" max="19" width="28" hidden="0" customWidth="1"/>
  </x:cols>
  <x:sheetData>
    <x:row r="1" ht="42" hidden="0" customHeight="1">
      <x:c r="A1" s="12" t="str">
        <x:v>Tầng</x:v>
      </x:c>
      <x:c r="B1" s="13" t="str">
        <x:v>Loại</x:v>
      </x:c>
      <x:c r="C1" s="13" t="str">
        <x:v>Tên cấu kiện</x:v>
      </x:c>
      <x:c r="D1" s="13" t="str">
        <x:v>SL</x:v>
      </x:c>
      <x:c r="E1" s="13" t="str">
        <x:v>BT gộp (m³)</x:v>
      </x:c>
      <x:c r="F1" s="13" t="str">
        <x:v>Trừ giao (m³)</x:v>
      </x:c>
      <x:c r="G1" s="13" t="str">
        <x:v>BT còn (m³)</x:v>
      </x:c>
      <x:c r="H1" s="13" t="str">
        <x:v>Cốp pha (m²)</x:v>
      </x:c>
      <x:c r="I1" s="13" t="str">
        <x:v>Dài (m)</x:v>
      </x:c>
      <x:c r="J1" s="13" t="str">
        <x:v>Chu vi ngoài (m)</x:v>
      </x:c>
      <x:c r="K1" s="13" t="str">
        <x:v>Chu vi trong (m)</x:v>
      </x:c>
      <x:c r="L1" s="13" t="str">
        <x:v>DT cửa (m²)</x:v>
      </x:c>
      <x:c r="M1" s="13" t="str">
        <x:v>Thành bên (m²)</x:v>
      </x:c>
      <x:c r="N1" s="13" t="str">
        <x:v>DT đáy (m²)</x:v>
      </x:c>
      <x:c r="O1" s="13" t="str">
        <x:v>DT đỉnh (m²)</x:v>
      </x:c>
      <x:c r="P1" s="13" t="str">
        <x:v>DT khác (m²)</x:v>
      </x:c>
      <x:c r="Q1" s="13" t="str">
        <x:v>QS3D Element ID</x:v>
      </x:c>
      <x:c r="R1" s="13" t="str">
        <x:v>CAD Handle (hex)</x:v>
      </x:c>
      <x:c r="S1" s="14" t="str">
        <x:v>QS3D Drawing Fingerprint</x:v>
      </x:c>
    </x:row>
    <x:row r="2" ht="15" hidden="0" customHeight="1">
      <x:c r="A2" s="15" t="str">
        <x:v>Ground Floor</x:v>
      </x:c>
      <x:c r="B2" s="16" t="str">
        <x:v>ArchitecturalWall</x:v>
      </x:c>
      <x:c r="C2" s="16" t="str">
        <x:v>Sample Wall 200</x:v>
      </x:c>
      <x:c r="D2" s="24" t="n">
        <x:v>1</x:v>
      </x:c>
      <x:c r="E2" s="27" t="n">
        <x:v>8.64</x:v>
      </x:c>
      <x:c r="F2" s="27" t="n">
        <x:v>0</x:v>
      </x:c>
      <x:c r="G2" s="27" t="n">
        <x:f>E2-F2</x:f>
        <x:v>8.64</x:v>
      </x:c>
      <x:c r="H2" s="27" t="n">
        <x:v>86.4</x:v>
      </x:c>
      <x:c r="I2" s="27" t="n">
        <x:v>12</x:v>
      </x:c>
      <x:c r="J2" s="27" t="n">
        <x:v>0</x:v>
      </x:c>
      <x:c r="K2" s="27" t="n">
        <x:v>0</x:v>
      </x:c>
      <x:c r="L2" s="27" t="n">
        <x:v>0</x:v>
      </x:c>
      <x:c r="M2" s="27" t="n">
        <x:v>0</x:v>
      </x:c>
      <x:c r="N2" s="27" t="n">
        <x:v>0</x:v>
      </x:c>
      <x:c r="O2" s="27" t="n">
        <x:v>0</x:v>
      </x:c>
      <x:c r="P2" s="27" t="n">
        <x:v>0</x:v>
      </x:c>
      <x:c r="Q2" s="16" t="str">
        <x:v>wall-10</x:v>
      </x:c>
      <x:c r="R2" s="16" t="str">
        <x:v>22A</x:v>
      </x:c>
      <x:c r="S2" s="17" t="str"/>
    </x:row>
    <x:row r="3" ht="15" hidden="0" customHeight="1">
      <x:c r="A3" s="18" t="str">
        <x:v>Ground Floor</x:v>
      </x:c>
      <x:c r="B3" s="19" t="str">
        <x:v>ArchitecturalWall</x:v>
      </x:c>
      <x:c r="C3" s="19" t="str">
        <x:v>Sample Wall 200</x:v>
      </x:c>
      <x:c r="D3" s="25" t="n">
        <x:v>1</x:v>
      </x:c>
      <x:c r="E3" s="28" t="n">
        <x:v>5.76</x:v>
      </x:c>
      <x:c r="F3" s="28" t="n">
        <x:v>0</x:v>
      </x:c>
      <x:c r="G3" s="28" t="n">
        <x:f>E3-F3</x:f>
        <x:v>5.76</x:v>
      </x:c>
      <x:c r="H3" s="28" t="n">
        <x:v>57.6</x:v>
      </x:c>
      <x:c r="I3" s="28" t="n">
        <x:v>8</x:v>
      </x:c>
      <x:c r="J3" s="28" t="n">
        <x:v>0</x:v>
      </x:c>
      <x:c r="K3" s="28" t="n">
        <x:v>0</x:v>
      </x:c>
      <x:c r="L3" s="28" t="n">
        <x:v>0</x:v>
      </x:c>
      <x:c r="M3" s="28" t="n">
        <x:v>0</x:v>
      </x:c>
      <x:c r="N3" s="28" t="n">
        <x:v>0</x:v>
      </x:c>
      <x:c r="O3" s="28" t="n">
        <x:v>0</x:v>
      </x:c>
      <x:c r="P3" s="28" t="n">
        <x:v>0</x:v>
      </x:c>
      <x:c r="Q3" s="19" t="str">
        <x:v>wall-11</x:v>
      </x:c>
      <x:c r="R3" s="19" t="str">
        <x:v>22B</x:v>
      </x:c>
      <x:c r="S3" s="20" t="str"/>
    </x:row>
    <x:row r="4" ht="15" hidden="0" customHeight="1">
      <x:c r="A4" s="18" t="str">
        <x:v>Ground Floor</x:v>
      </x:c>
      <x:c r="B4" s="19" t="str">
        <x:v>ArchitecturalWall</x:v>
      </x:c>
      <x:c r="C4" s="19" t="str">
        <x:v>Sample Wall 200</x:v>
      </x:c>
      <x:c r="D4" s="25" t="n">
        <x:v>1</x:v>
      </x:c>
      <x:c r="E4" s="28" t="n">
        <x:v>8.64</x:v>
      </x:c>
      <x:c r="F4" s="28" t="n">
        <x:v>0</x:v>
      </x:c>
      <x:c r="G4" s="28" t="n">
        <x:f>E4-F4</x:f>
        <x:v>8.64</x:v>
      </x:c>
      <x:c r="H4" s="28" t="n">
        <x:v>86.4</x:v>
      </x:c>
      <x:c r="I4" s="28" t="n">
        <x:v>12</x:v>
      </x:c>
      <x:c r="J4" s="28" t="n">
        <x:v>0</x:v>
      </x:c>
      <x:c r="K4" s="28" t="n">
        <x:v>0</x:v>
      </x:c>
      <x:c r="L4" s="28" t="n">
        <x:v>0</x:v>
      </x:c>
      <x:c r="M4" s="28" t="n">
        <x:v>0</x:v>
      </x:c>
      <x:c r="N4" s="28" t="n">
        <x:v>0</x:v>
      </x:c>
      <x:c r="O4" s="28" t="n">
        <x:v>0</x:v>
      </x:c>
      <x:c r="P4" s="28" t="n">
        <x:v>0</x:v>
      </x:c>
      <x:c r="Q4" s="19" t="str">
        <x:v>wall-12</x:v>
      </x:c>
      <x:c r="R4" s="19" t="str">
        <x:v>22C</x:v>
      </x:c>
      <x:c r="S4" s="20" t="str"/>
    </x:row>
    <x:row r="5" ht="15" hidden="0" customHeight="1">
      <x:c r="A5" s="18" t="str">
        <x:v>Ground Floor</x:v>
      </x:c>
      <x:c r="B5" s="19" t="str">
        <x:v>ArchitecturalWall</x:v>
      </x:c>
      <x:c r="C5" s="19" t="str">
        <x:v>Sample Wall 200</x:v>
      </x:c>
      <x:c r="D5" s="25" t="n">
        <x:v>1</x:v>
      </x:c>
      <x:c r="E5" s="28" t="n">
        <x:v>5.76</x:v>
      </x:c>
      <x:c r="F5" s="28" t="n">
        <x:v>0</x:v>
      </x:c>
      <x:c r="G5" s="28" t="n">
        <x:f>E5-F5</x:f>
        <x:v>5.76</x:v>
      </x:c>
      <x:c r="H5" s="28" t="n">
        <x:v>57.6</x:v>
      </x:c>
      <x:c r="I5" s="28" t="n">
        <x:v>8</x:v>
      </x:c>
      <x:c r="J5" s="28" t="n">
        <x:v>0</x:v>
      </x:c>
      <x:c r="K5" s="28" t="n">
        <x:v>0</x:v>
      </x:c>
      <x:c r="L5" s="28" t="n">
        <x:v>0</x:v>
      </x:c>
      <x:c r="M5" s="28" t="n">
        <x:v>0</x:v>
      </x:c>
      <x:c r="N5" s="28" t="n">
        <x:v>0</x:v>
      </x:c>
      <x:c r="O5" s="28" t="n">
        <x:v>0</x:v>
      </x:c>
      <x:c r="P5" s="28" t="n">
        <x:v>0</x:v>
      </x:c>
      <x:c r="Q5" s="19" t="str">
        <x:v>wall-13</x:v>
      </x:c>
      <x:c r="R5" s="19" t="str">
        <x:v>22D</x:v>
      </x:c>
      <x:c r="S5" s="20" t="str"/>
    </x:row>
    <x:row r="6" ht="15" hidden="0" customHeight="1">
      <x:c r="A6" s="18" t="str">
        <x:v>Ground Floor</x:v>
      </x:c>
      <x:c r="B6" s="19" t="str">
        <x:v>Door</x:v>
      </x:c>
      <x:c r="C6" s="19" t="str">
        <x:v>Sample Door 1000x2200</x:v>
      </x:c>
      <x:c r="D6" s="25" t="n">
        <x:v>1</x:v>
      </x:c>
      <x:c r="E6" s="28" t="n">
        <x:v>0</x:v>
      </x:c>
      <x:c r="F6" s="28" t="n">
        <x:v>0</x:v>
      </x:c>
      <x:c r="G6" s="28" t="n">
        <x:f>E6-F6</x:f>
        <x:v>0</x:v>
      </x:c>
      <x:c r="H6" s="28" t="n">
        <x:v>0</x:v>
      </x:c>
      <x:c r="I6" s="28" t="n">
        <x:v>0</x:v>
      </x:c>
      <x:c r="J6" s="28" t="n">
        <x:v>0</x:v>
      </x:c>
      <x:c r="K6" s="28" t="n">
        <x:v>0</x:v>
      </x:c>
      <x:c r="L6" s="28" t="n">
        <x:v>2.2</x:v>
      </x:c>
      <x:c r="M6" s="28" t="n">
        <x:v>0</x:v>
      </x:c>
      <x:c r="N6" s="28" t="n">
        <x:v>0</x:v>
      </x:c>
      <x:c r="O6" s="28" t="n">
        <x:v>0</x:v>
      </x:c>
      <x:c r="P6" s="28" t="n">
        <x:v>0</x:v>
      </x:c>
      <x:c r="Q6" s="19" t="str">
        <x:v>door-20</x:v>
      </x:c>
      <x:c r="R6" s="19" t="str">
        <x:v>22E</x:v>
      </x:c>
      <x:c r="S6" s="20" t="str"/>
    </x:row>
    <x:row r="7" ht="15" hidden="0" customHeight="1">
      <x:c r="A7" s="18" t="str">
        <x:v>Ground Floor</x:v>
      </x:c>
      <x:c r="B7" s="19" t="str">
        <x:v>Column</x:v>
      </x:c>
      <x:c r="C7" s="19" t="str">
        <x:v>Sample Column 400x400</x:v>
      </x:c>
      <x:c r="D7" s="25" t="n">
        <x:v>2</x:v>
      </x:c>
      <x:c r="E7" s="28" t="n">
        <x:v>1.152</x:v>
      </x:c>
      <x:c r="F7" s="28" t="n">
        <x:v>0</x:v>
      </x:c>
      <x:c r="G7" s="28" t="n">
        <x:f>E7-F7</x:f>
        <x:v>1.152</x:v>
      </x:c>
      <x:c r="H7" s="28" t="n">
        <x:v>11.52</x:v>
      </x:c>
      <x:c r="I7" s="28" t="n">
        <x:v>0</x:v>
      </x:c>
      <x:c r="J7" s="28" t="n">
        <x:v>0</x:v>
      </x:c>
      <x:c r="K7" s="28" t="n">
        <x:v>0</x:v>
      </x:c>
      <x:c r="L7" s="28" t="n">
        <x:v>0</x:v>
      </x:c>
      <x:c r="M7" s="28" t="n">
        <x:v>0</x:v>
      </x:c>
      <x:c r="N7" s="28" t="n">
        <x:v>0</x:v>
      </x:c>
      <x:c r="O7" s="28" t="n">
        <x:v>0</x:v>
      </x:c>
      <x:c r="P7" s="28" t="n">
        <x:v>0</x:v>
      </x:c>
      <x:c r="Q7" s="19" t="str">
        <x:v>column-30;column-31</x:v>
      </x:c>
      <x:c r="R7" s="19" t="str">
        <x:v>22F;230</x:v>
      </x:c>
      <x:c r="S7" s="20" t="str"/>
    </x:row>
    <x:row r="8" ht="15" hidden="0" customHeight="1">
      <x:c r="A8" s="18" t="str">
        <x:v>Ground Floor</x:v>
      </x:c>
      <x:c r="B8" s="19" t="str">
        <x:v>Slab</x:v>
      </x:c>
      <x:c r="C8" s="19" t="str">
        <x:v>Sample Slab 150</x:v>
      </x:c>
      <x:c r="D8" s="25" t="n">
        <x:v>1</x:v>
      </x:c>
      <x:c r="E8" s="28" t="n">
        <x:v>14.4</x:v>
      </x:c>
      <x:c r="F8" s="28" t="n">
        <x:v>0</x:v>
      </x:c>
      <x:c r="G8" s="28" t="n">
        <x:f>E8-F8</x:f>
        <x:v>14.4</x:v>
      </x:c>
      <x:c r="H8" s="28" t="n">
        <x:v>0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n">
        <x:v>0</x:v>
      </x:c>
      <x:c r="N8" s="28" t="n">
        <x:v>96</x:v>
      </x:c>
      <x:c r="O8" s="28" t="n">
        <x:v>96</x:v>
      </x:c>
      <x:c r="P8" s="28" t="n">
        <x:v>0</x:v>
      </x:c>
      <x:c r="Q8" s="19" t="str">
        <x:v>slab-40</x:v>
      </x:c>
      <x:c r="R8" s="19" t="str">
        <x:v>231</x:v>
      </x:c>
      <x:c r="S8" s="20" t="str"/>
    </x:row>
    <x:row r="9" ht="15" hidden="0" customHeight="1">
      <x:c r="A9" s="18" t="str">
        <x:v>Ground Floor</x:v>
      </x:c>
      <x:c r="B9" s="19" t="str">
        <x:v>Beam</x:v>
      </x:c>
      <x:c r="C9" s="19" t="str">
        <x:v>Sample Beam 300x500</x:v>
      </x:c>
      <x:c r="D9" s="25" t="n">
        <x:v>1</x:v>
      </x:c>
      <x:c r="E9" s="28" t="n">
        <x:v>1.2</x:v>
      </x:c>
      <x:c r="F9" s="28" t="n">
        <x:v>0</x:v>
      </x:c>
      <x:c r="G9" s="28" t="n">
        <x:f>E9-F9</x:f>
        <x:v>1.2</x:v>
      </x:c>
      <x:c r="H9" s="28" t="n">
        <x:v>10.4</x:v>
      </x:c>
      <x:c r="I9" s="28" t="n">
        <x:v>8</x:v>
      </x:c>
      <x:c r="J9" s="28" t="n">
        <x:v>0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n">
        <x:v>0</x:v>
      </x:c>
      <x:c r="P9" s="28" t="n">
        <x:v>0</x:v>
      </x:c>
      <x:c r="Q9" s="19" t="str">
        <x:v>beam-50</x:v>
      </x:c>
      <x:c r="R9" s="19" t="str">
        <x:v>232</x:v>
      </x:c>
      <x:c r="S9" s="20" t="str"/>
    </x:row>
    <x:row r="10" ht="15" hidden="0" customHeight="1">
      <x:c r="A10" s="18" t="str">
        <x:v>Ground Floor</x:v>
      </x:c>
      <x:c r="B10" s="19" t="str">
        <x:v>GlassWall</x:v>
      </x:c>
      <x:c r="C10" s="19" t="str">
        <x:v>Sample Glass Wall 12</x:v>
      </x:c>
      <x:c r="D10" s="25" t="n">
        <x:v>1</x:v>
      </x:c>
      <x:c r="E10" s="28" t="n">
        <x:v>0.2592</x:v>
      </x:c>
      <x:c r="F10" s="28" t="n">
        <x:v>0</x:v>
      </x:c>
      <x:c r="G10" s="28" t="n">
        <x:f>E10-F10</x:f>
        <x:v>0.2592</x:v>
      </x:c>
      <x:c r="H10" s="28" t="n">
        <x:v>0</x:v>
      </x:c>
      <x:c r="I10" s="28" t="n">
        <x:v>6</x:v>
      </x:c>
      <x:c r="J10" s="28" t="n">
        <x:v>0</x:v>
      </x:c>
      <x:c r="K10" s="28" t="n">
        <x:v>0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  <x:c r="P10" s="28" t="n">
        <x:v>21.6</x:v>
      </x:c>
      <x:c r="Q10" s="19" t="str">
        <x:v>glass-60</x:v>
      </x:c>
      <x:c r="R10" s="19" t="str">
        <x:v>233</x:v>
      </x:c>
      <x:c r="S10" s="20" t="str"/>
    </x:row>
    <x:row r="11" ht="15" hidden="0" customHeight="1">
      <x:c r="A11" s="21" t="str">
        <x:v>Ground Floor</x:v>
      </x:c>
      <x:c r="B11" s="22" t="str">
        <x:v>Room</x:v>
      </x:c>
      <x:c r="C11" s="22" t="str">
        <x:v>Sample Room 3.6m</x:v>
      </x:c>
      <x:c r="D11" s="26" t="n">
        <x:v>1</x:v>
      </x:c>
      <x:c r="E11" s="29" t="n">
        <x:v>0</x:v>
      </x:c>
      <x:c r="F11" s="29" t="n">
        <x:v>0</x:v>
      </x:c>
      <x:c r="G11" s="29" t="n">
        <x:f>E11-F11</x:f>
        <x:v>0</x:v>
      </x:c>
      <x:c r="H11" s="29" t="n">
        <x:v>0</x:v>
      </x:c>
      <x:c r="I11" s="29" t="n">
        <x:v>0</x:v>
      </x:c>
      <x:c r="J11" s="29" t="n">
        <x:v>38.4</x:v>
      </x:c>
      <x:c r="K11" s="29" t="n">
        <x:v>0</x:v>
      </x:c>
      <x:c r="L11" s="29" t="n">
        <x:v>0</x:v>
      </x:c>
      <x:c r="M11" s="29" t="n">
        <x:v>0</x:v>
      </x:c>
      <x:c r="N11" s="29" t="n">
        <x:v>0</x:v>
      </x:c>
      <x:c r="O11" s="29" t="n">
        <x:v>0</x:v>
      </x:c>
      <x:c r="P11" s="29" t="n">
        <x:v>0</x:v>
      </x:c>
      <x:c r="Q11" s="22" t="str">
        <x:v>room-70</x:v>
      </x:c>
      <x:c r="R11" s="22" t="str">
        <x:v>234</x:v>
      </x:c>
      <x:c r="S11" s="23" t="str"/>
    </x:row>
  </x:sheetData>
  <x:pageMargins left="0.7" right="0.7" top="0.75" bottom="0.75" header="0.3" footer="0.3"/>
  <x:tableParts count="1">
    <x:tablePart xmlns:r="http://schemas.openxmlformats.org/officeDocument/2006/relationships" r:id="R7f1aafaaaa7a42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</x:cols>
  <x:sheetData>
    <x:row r="1" ht="30" customHeight="1">
      <x:c r="A1" s="32" t="str">
        <x:v>QS3D — TỔNG HỢP KHỐI LƯỢNG MẪU</x:v>
      </x:c>
      <x:c r="B1" s="32"/>
      <x:c r="C1" s="32"/>
      <x:c r="D1" s="32"/>
      <x:c r="E1" s="32"/>
      <x:c r="F1" s="32"/>
    </x:row>
    <x:row r="2">
      <x:c r="A2" s="40" t="str">
        <x:v>Loại</x:v>
      </x:c>
      <x:c r="B2" s="41" t="str">
        <x:v>Số lượng</x:v>
      </x:c>
      <x:c r="C2" s="41" t="str">
        <x:v>BT còn (m³)</x:v>
      </x:c>
      <x:c r="D2" s="41" t="str">
        <x:v>Cốp pha (m²)</x:v>
      </x:c>
      <x:c r="E2" s="41" t="str">
        <x:v>DT cửa/khác (m²)</x:v>
      </x:c>
      <x:c r="F2" s="42" t="str">
        <x:v>Ghi chú</x:v>
      </x:c>
    </x:row>
    <x:row r="3">
      <x:c r="A3" s="18" t="str">
        <x:v>ArchitecturalWall</x:v>
      </x:c>
      <x:c r="B3" s="25" t="n">
        <x:f>SUMIF('KHOI_LUONG'!$B$2:$B$11,A3,'KHOI_LUONG'!$D$2:$D$11)</x:f>
        <x:v>4</x:v>
      </x:c>
      <x:c r="C3" s="28" t="n">
        <x:f>SUMIF('KHOI_LUONG'!$B$2:$B$11,A3,'KHOI_LUONG'!$G$2:$G$11)</x:f>
        <x:v>28.799999999999997</x:v>
      </x:c>
      <x:c r="D3" s="28" t="n">
        <x:f>SUMIF('KHOI_LUONG'!$B$2:$B$11,A3,'KHOI_LUONG'!$H$2:$H$11)</x:f>
        <x:v>288</x:v>
      </x:c>
      <x:c r="E3" s="28" t="n">
        <x:f>SUMIF('KHOI_LUONG'!$B$2:$B$11,A3,'KHOI_LUONG'!$L$2:$L$11)+SUMIF('KHOI_LUONG'!$B$2:$B$11,A3,'KHOI_LUONG'!$P$2:$P$11)</x:f>
        <x:v>0</x:v>
      </x:c>
      <x:c r="F3" s="20" t="str">
        <x:v>Dữ liệu tổng hợp từ sheet đầu</x:v>
      </x:c>
    </x:row>
    <x:row r="4">
      <x:c r="A4" s="18" t="str">
        <x:v>Column</x:v>
      </x:c>
      <x:c r="B4" s="25" t="n">
        <x:f>SUMIF('KHOI_LUONG'!$B$2:$B$11,A4,'KHOI_LUONG'!$D$2:$D$11)</x:f>
        <x:v>2</x:v>
      </x:c>
      <x:c r="C4" s="28" t="n">
        <x:f>SUMIF('KHOI_LUONG'!$B$2:$B$11,A4,'KHOI_LUONG'!$G$2:$G$11)</x:f>
        <x:v>1.152</x:v>
      </x:c>
      <x:c r="D4" s="28" t="n">
        <x:f>SUMIF('KHOI_LUONG'!$B$2:$B$11,A4,'KHOI_LUONG'!$H$2:$H$11)</x:f>
        <x:v>11.52</x:v>
      </x:c>
      <x:c r="E4" s="28" t="n">
        <x:f>SUMIF('KHOI_LUONG'!$B$2:$B$11,A4,'KHOI_LUONG'!$L$2:$L$11)+SUMIF('KHOI_LUONG'!$B$2:$B$11,A4,'KHOI_LUONG'!$P$2:$P$11)</x:f>
        <x:v>0</x:v>
      </x:c>
      <x:c r="F4" s="20" t="str">
        <x:v>Dữ liệu tổng hợp từ sheet đầu</x:v>
      </x:c>
    </x:row>
    <x:row r="5">
      <x:c r="A5" s="18" t="str">
        <x:v>Slab</x:v>
      </x:c>
      <x:c r="B5" s="25" t="n">
        <x:f>SUMIF('KHOI_LUONG'!$B$2:$B$11,A5,'KHOI_LUONG'!$D$2:$D$11)</x:f>
        <x:v>1</x:v>
      </x:c>
      <x:c r="C5" s="28" t="n">
        <x:f>SUMIF('KHOI_LUONG'!$B$2:$B$11,A5,'KHOI_LUONG'!$G$2:$G$11)</x:f>
        <x:v>14.4</x:v>
      </x:c>
      <x:c r="D5" s="28" t="n">
        <x:f>SUMIF('KHOI_LUONG'!$B$2:$B$11,A5,'KHOI_LUONG'!$H$2:$H$11)</x:f>
        <x:v>0</x:v>
      </x:c>
      <x:c r="E5" s="28" t="n">
        <x:f>SUMIF('KHOI_LUONG'!$B$2:$B$11,A5,'KHOI_LUONG'!$L$2:$L$11)+SUMIF('KHOI_LUONG'!$B$2:$B$11,A5,'KHOI_LUONG'!$P$2:$P$11)</x:f>
        <x:v>0</x:v>
      </x:c>
      <x:c r="F5" s="20" t="str">
        <x:v>Dữ liệu tổng hợp từ sheet đầu</x:v>
      </x:c>
    </x:row>
    <x:row r="6">
      <x:c r="A6" s="18" t="str">
        <x:v>Beam</x:v>
      </x:c>
      <x:c r="B6" s="25" t="n">
        <x:f>SUMIF('KHOI_LUONG'!$B$2:$B$11,A6,'KHOI_LUONG'!$D$2:$D$11)</x:f>
        <x:v>1</x:v>
      </x:c>
      <x:c r="C6" s="28" t="n">
        <x:f>SUMIF('KHOI_LUONG'!$B$2:$B$11,A6,'KHOI_LUONG'!$G$2:$G$11)</x:f>
        <x:v>1.2</x:v>
      </x:c>
      <x:c r="D6" s="28" t="n">
        <x:f>SUMIF('KHOI_LUONG'!$B$2:$B$11,A6,'KHOI_LUONG'!$H$2:$H$11)</x:f>
        <x:v>10.4</x:v>
      </x:c>
      <x:c r="E6" s="28" t="n">
        <x:f>SUMIF('KHOI_LUONG'!$B$2:$B$11,A6,'KHOI_LUONG'!$L$2:$L$11)+SUMIF('KHOI_LUONG'!$B$2:$B$11,A6,'KHOI_LUONG'!$P$2:$P$11)</x:f>
        <x:v>0</x:v>
      </x:c>
      <x:c r="F6" s="20" t="str">
        <x:v>Dữ liệu tổng hợp từ sheet đầu</x:v>
      </x:c>
    </x:row>
    <x:row r="7">
      <x:c r="A7" s="18" t="str">
        <x:v>GlassWall</x:v>
      </x:c>
      <x:c r="B7" s="25" t="n">
        <x:f>SUMIF('KHOI_LUONG'!$B$2:$B$11,A7,'KHOI_LUONG'!$D$2:$D$11)</x:f>
        <x:v>1</x:v>
      </x:c>
      <x:c r="C7" s="28" t="n">
        <x:f>SUMIF('KHOI_LUONG'!$B$2:$B$11,A7,'KHOI_LUONG'!$G$2:$G$11)</x:f>
        <x:v>0.2592</x:v>
      </x:c>
      <x:c r="D7" s="28" t="n">
        <x:f>SUMIF('KHOI_LUONG'!$B$2:$B$11,A7,'KHOI_LUONG'!$H$2:$H$11)</x:f>
        <x:v>0</x:v>
      </x:c>
      <x:c r="E7" s="28" t="n">
        <x:f>SUMIF('KHOI_LUONG'!$B$2:$B$11,A7,'KHOI_LUONG'!$L$2:$L$11)+SUMIF('KHOI_LUONG'!$B$2:$B$11,A7,'KHOI_LUONG'!$P$2:$P$11)</x:f>
        <x:v>21.6</x:v>
      </x:c>
      <x:c r="F7" s="20" t="str">
        <x:v>Diện tích kính ở cột E</x:v>
      </x:c>
    </x:row>
    <x:row r="8">
      <x:c r="A8" s="18" t="str">
        <x:v>Door</x:v>
      </x:c>
      <x:c r="B8" s="25" t="n">
        <x:f>SUMIF('KHOI_LUONG'!$B$2:$B$11,A8,'KHOI_LUONG'!$D$2:$D$11)</x:f>
        <x:v>1</x:v>
      </x:c>
      <x:c r="C8" s="28" t="n">
        <x:f>SUMIF('KHOI_LUONG'!$B$2:$B$11,A8,'KHOI_LUONG'!$G$2:$G$11)</x:f>
        <x:v>0</x:v>
      </x:c>
      <x:c r="D8" s="28" t="n">
        <x:f>SUMIF('KHOI_LUONG'!$B$2:$B$11,A8,'KHOI_LUONG'!$H$2:$H$11)</x:f>
        <x:v>0</x:v>
      </x:c>
      <x:c r="E8" s="28" t="n">
        <x:f>SUMIF('KHOI_LUONG'!$B$2:$B$11,A8,'KHOI_LUONG'!$L$2:$L$11)+SUMIF('KHOI_LUONG'!$B$2:$B$11,A8,'KHOI_LUONG'!$P$2:$P$11)</x:f>
        <x:v>2.2</x:v>
      </x:c>
      <x:c r="F8" s="20" t="str">
        <x:v>Diện tích cửa ở cột E</x:v>
      </x:c>
    </x:row>
    <x:row r="9">
      <x:c r="A9" s="18" t="str">
        <x:v>Room</x:v>
      </x:c>
      <x:c r="B9" s="25" t="n">
        <x:f>SUMIF('KHOI_LUONG'!$B$2:$B$11,A9,'KHOI_LUONG'!$D$2:$D$11)</x:f>
        <x:v>1</x:v>
      </x:c>
      <x:c r="C9" s="28" t="n">
        <x:f>SUMIF('KHOI_LUONG'!$B$2:$B$11,A9,'KHOI_LUONG'!$G$2:$G$11)</x:f>
        <x:v>0</x:v>
      </x:c>
      <x:c r="D9" s="28" t="n">
        <x:f>SUMIF('KHOI_LUONG'!$B$2:$B$11,A9,'KHOI_LUONG'!$H$2:$H$11)</x:f>
        <x:v>0</x:v>
      </x:c>
      <x:c r="E9" s="28" t="n">
        <x:f>SUMIF('KHOI_LUONG'!$B$2:$B$11,A9,'KHOI_LUONG'!$L$2:$L$11)+SUMIF('KHOI_LUONG'!$B$2:$B$11,A9,'KHOI_LUONG'!$P$2:$P$11)</x:f>
        <x:v>0</x:v>
      </x:c>
      <x:c r="F9" s="20" t="str">
        <x:v>Dữ liệu tổng hợp từ sheet đầu</x:v>
      </x:c>
    </x:row>
    <x:row r="10">
      <x:c r="A10" s="43" t="str">
        <x:v>TỔNG</x:v>
      </x:c>
      <x:c r="B10" s="46" t="n">
        <x:f>SUM(B3:B9)</x:f>
        <x:v>11</x:v>
      </x:c>
      <x:c r="C10" s="47" t="n">
        <x:f>SUM(C3:C9)</x:f>
        <x:v>45.8112</x:v>
      </x:c>
      <x:c r="D10" s="47" t="n">
        <x:f>SUM(D3:D9)</x:f>
        <x:v>309.91999999999996</x:v>
      </x:c>
      <x:c r="E10" s="47" t="n">
        <x:f>SUM(E3:E9)</x:f>
        <x:v>23.8</x:v>
      </x:c>
      <x:c r="F10" s="45" t="str">
        <x:v>Workbook tổng hợp mới, không chứa dữ liệu BLT.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</x:cols>
  <x:sheetData>
    <x:row r="1" ht="30" customHeight="1">
      <x:c r="A1" s="32" t="str">
        <x:v>HƯỚNG DẪN DÙNG BỘ MẪU QS3D</x:v>
      </x:c>
      <x:c r="B1" s="32"/>
      <x:c r="C1" s="32"/>
      <x:c r="D1" s="32"/>
      <x:c r="E1" s="32"/>
      <x:c r="F1" s="32"/>
    </x:row>
    <x:row r="3">
      <x:c r="A3" s="72" t="str">
        <x:v>Bước</x:v>
      </x:c>
      <x:c r="B3" s="73" t="str">
        <x:v>Thao tác</x:v>
      </x:c>
    </x:row>
    <x:row r="4" ht="36" customHeight="1">
      <x:c r="A4" s="74" t="n">
        <x:v>1</x:v>
      </x:c>
      <x:c r="B4" s="76" t="str">
        <x:v>Mở QS3D-Sample.dwg; nếu chưa có DWG thì mở QS3D-Sample.dxf và Save As DWG cùng thư mục.</x:v>
      </x:c>
    </x:row>
    <x:row r="5" ht="36" customHeight="1">
      <x:c r="A5" s="74" t="n">
        <x:v>2</x:v>
      </x:c>
      <x:c r="B5" s="76" t="str">
        <x:v>NETLOAD QS3D.BricsCAD.V25.dll hoặc cài gói DemandLoad trong Release.</x:v>
      </x:c>
    </x:row>
    <x:row r="6" ht="36" customHeight="1">
      <x:c r="A6" s="74" t="n">
        <x:v>3</x:v>
      </x:c>
      <x:c r="B6" s="76" t="str">
        <x:v>Chạy QS3DRELOAD để nạp QS3D-Sample.qsdb, sau đó QS3DHEALTHALL.</x:v>
      </x:c>
    </x:row>
    <x:row r="7" ht="36" customHeight="1">
      <x:c r="A7" s="74" t="n">
        <x:v>4</x:v>
      </x:c>
      <x:c r="B7" s="76" t="str">
        <x:v>Chạy QS3DBQ hoặc QS3DED2 để xuất workbook thật có fingerprint của bản vẽ đang mở.</x:v>
      </x:c>
    </x:row>
    <x:row r="8" ht="36" customHeight="1">
      <x:c r="A8" s="74" t="n">
        <x:v>5</x:v>
      </x:c>
      <x:c r="B8" s="76" t="str">
        <x:v>Để thử truy xuất ngược, chạy QS3DEXCELLOCATE, chọn workbook này và nhập dòng 2–11.</x:v>
      </x:c>
    </x:row>
    <x:row r="9" ht="36" customHeight="1">
      <x:c r="A9" s="74" t="n">
        <x:v>6</x:v>
      </x:c>
      <x:c r="B9" s="76" t="str">
        <x:v>Workbook mẫu để trống fingerprint nên QS3D sẽ yêu cầu nhập YES; chỉ xác nhận khi đúng sample drawing.</x:v>
      </x:c>
    </x:row>
    <x:row r="10" ht="36" customHeight="1">
      <x:c r="A10" s="74" t="n">
        <x:v>7</x:v>
      </x:c>
      <x:c r="B10" s="76" t="str">
        <x:v>Handle ở cột R là hexadecimal và khớp entity Handle cố định trong DXF/DWG tổng hợp.</x:v>
      </x:c>
    </x:row>
    <x:row r="11" ht="36" customHeight="1">
      <x:c r="A11" s="75" t="n">
        <x:v>8</x:v>
      </x:c>
      <x:c r="B11" s="77" t="str">
        <x:v>Không dùng workbook này làm hồ sơ khối lượng thực tế; đây là fixture kiểm thử được tạo mới.</x:v>
      </x:c>
    </x:row>
    <x:row r="12" ht="28" customHeight="1">
      <x:c r="A12" s="66" t="str">
        <x:v>Nguồn dữ liệu: bộ hình học và số liệu tổng hợp do dự án QS3D tạo mới. Không sao chép BLT, bản vẽ khách hàng, workbook cá nhân hay DLL BricsCAD.</x:v>
      </x:c>
      <x:c r="B12" s="67"/>
      <x:c r="C12" s="67"/>
      <x:c r="D12" s="67"/>
      <x:c r="E12" s="67"/>
      <x:c r="F12" s="68"/>
    </x:row>
    <x:row r="13" ht="28" customHeight="1">
      <x:c r="A13" s="69"/>
      <x:c r="B13" s="70"/>
      <x:c r="C13" s="70"/>
      <x:c r="D13" s="70"/>
      <x:c r="E13" s="70"/>
      <x:c r="F13" s="71"/>
    </x:row>
  </x:sheetData>
  <x:mergeCells>
    <x:mergeCell ref="A1:F1"/>
    <x:mergeCell ref="A12:F13"/>
  </x:mergeCells>
  <x:pageMargins left="0.7" right="0.7" top="0.75" bottom="0.75" header="0.3" footer="0.3"/>
</x:worksheet>
</file>